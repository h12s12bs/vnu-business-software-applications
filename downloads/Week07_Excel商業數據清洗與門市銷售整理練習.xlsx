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務說明" sheetId="1" state="visible" r:id="rId1"/>
    <sheet xmlns:r="http://schemas.openxmlformats.org/officeDocument/2006/relationships" name="學生練習區" sheetId="2" state="visible" r:id="rId2"/>
    <sheet xmlns:r="http://schemas.openxmlformats.org/officeDocument/2006/relationships" name="標準參考解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1E3A8A"/>
      <sz val="14"/>
    </font>
    <font>
      <b val="1"/>
      <color rgb="001E3A8A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【上機實作練習 01】：門市銷售數據清洗與多條件統計函數 (SUMIFS, COUNTIFS)</t>
        </is>
      </c>
    </row>
    <row r="3">
      <c r="A3" t="inlineStr">
        <is>
          <t>一、 練習背景：</t>
        </is>
      </c>
      <c r="B3" t="inlineStr">
        <is>
          <t>從舊版 POS 系統匯出的原始門市明細中，存在大量首尾空白與格式錯誤，請先進行資料清洗，再完成多維度業績彙總表。</t>
        </is>
      </c>
    </row>
    <row r="4">
      <c r="A4" t="inlineStr">
        <is>
          <t>二、 評核目標：</t>
        </is>
      </c>
    </row>
    <row r="5">
      <c r="A5" t="inlineStr"/>
      <c r="B5" t="inlineStr">
        <is>
          <t>1. 使用 TRIM() 函數或資料剖析去除文字首尾空格。</t>
        </is>
      </c>
    </row>
    <row r="6">
      <c r="A6" t="inlineStr"/>
      <c r="B6" t="inlineStr">
        <is>
          <t>2. 使用 SUMIFS 計算指定門市分區與指定商品類別之銷售總金額。</t>
        </is>
      </c>
    </row>
    <row r="7">
      <c r="A7" t="inlineStr"/>
      <c r="B7" t="inlineStr">
        <is>
          <t>3. 使用 COUNTIFS 統計銷售額大於等於 500 元之高額訂單筆數。</t>
        </is>
      </c>
    </row>
    <row r="8">
      <c r="A8" t="inlineStr"/>
      <c r="B8" t="inlineStr">
        <is>
          <t>4. 使用 AVERAGEIFS 計算各分區之平均訂單毛利。</t>
        </is>
      </c>
    </row>
    <row r="9">
      <c r="A9" t="inlineStr"/>
      <c r="B9" t="inlineStr">
        <is>
          <t>5. 設定條件式格式：將毛利低於 100 元之項目標記為淡紅色背景。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訂單編號</t>
        </is>
      </c>
      <c r="B1" t="inlineStr">
        <is>
          <t>銷售門市(含雜訊空格)</t>
        </is>
      </c>
      <c r="C1" t="inlineStr">
        <is>
          <t>商品類別</t>
        </is>
      </c>
      <c r="D1" t="inlineStr">
        <is>
          <t>銷售金額</t>
        </is>
      </c>
      <c r="E1" t="inlineStr">
        <is>
          <t>訂單毛利</t>
        </is>
      </c>
      <c r="F1" t="inlineStr">
        <is>
          <t>清洗後門市(請用TRIM)</t>
        </is>
      </c>
    </row>
    <row r="2">
      <c r="A2" t="inlineStr">
        <is>
          <t>ORD-101</t>
        </is>
      </c>
      <c r="B2" t="inlineStr">
        <is>
          <t xml:space="preserve">  台北旗艦店 </t>
        </is>
      </c>
      <c r="C2" t="inlineStr">
        <is>
          <t>經典咖啡</t>
        </is>
      </c>
      <c r="D2" t="n">
        <v>450</v>
      </c>
      <c r="E2" t="n">
        <v>210</v>
      </c>
      <c r="F2" t="inlineStr"/>
    </row>
    <row r="3">
      <c r="A3" t="inlineStr">
        <is>
          <t>ORD-102</t>
        </is>
      </c>
      <c r="B3" t="inlineStr">
        <is>
          <t xml:space="preserve">板橋站前店  </t>
        </is>
      </c>
      <c r="C3" t="inlineStr">
        <is>
          <t>手作烘焙</t>
        </is>
      </c>
      <c r="D3" t="n">
        <v>180</v>
      </c>
      <c r="E3" t="n">
        <v>75</v>
      </c>
      <c r="F3" t="inlineStr"/>
    </row>
    <row r="4">
      <c r="A4" t="inlineStr">
        <is>
          <t>ORD-103</t>
        </is>
      </c>
      <c r="B4" t="inlineStr">
        <is>
          <t xml:space="preserve"> 台北旗艦店</t>
        </is>
      </c>
      <c r="C4" t="inlineStr">
        <is>
          <t>輕食沙拉</t>
        </is>
      </c>
      <c r="D4" t="n">
        <v>620</v>
      </c>
      <c r="E4" t="n">
        <v>280</v>
      </c>
      <c r="F4" t="inlineStr"/>
    </row>
    <row r="5">
      <c r="A5" t="inlineStr">
        <is>
          <t>ORD-104</t>
        </is>
      </c>
      <c r="B5" t="inlineStr">
        <is>
          <t xml:space="preserve">台中一中店 </t>
        </is>
      </c>
      <c r="C5" t="inlineStr">
        <is>
          <t>特調茶飲</t>
        </is>
      </c>
      <c r="D5" t="n">
        <v>240</v>
      </c>
      <c r="E5" t="n">
        <v>110</v>
      </c>
      <c r="F5" t="inlineStr"/>
    </row>
    <row r="6">
      <c r="A6" t="inlineStr">
        <is>
          <t>ORD-105</t>
        </is>
      </c>
      <c r="B6" t="inlineStr">
        <is>
          <t xml:space="preserve">  高雄巨蛋店</t>
        </is>
      </c>
      <c r="C6" t="inlineStr">
        <is>
          <t>經典咖啡</t>
        </is>
      </c>
      <c r="D6" t="n">
        <v>850</v>
      </c>
      <c r="E6" t="n">
        <v>420</v>
      </c>
      <c r="F6" t="inlineStr"/>
    </row>
    <row r="7">
      <c r="A7" t="inlineStr">
        <is>
          <t>ORD-106</t>
        </is>
      </c>
      <c r="B7" t="inlineStr">
        <is>
          <t xml:space="preserve">台北旗艦店  </t>
        </is>
      </c>
      <c r="C7" t="inlineStr">
        <is>
          <t>經典咖啡</t>
        </is>
      </c>
      <c r="D7" t="n">
        <v>520</v>
      </c>
      <c r="E7" t="n">
        <v>260</v>
      </c>
      <c r="F7" t="inlineStr"/>
    </row>
    <row r="8">
      <c r="A8" t="inlineStr">
        <is>
          <t>ORD-107</t>
        </is>
      </c>
      <c r="B8" t="inlineStr">
        <is>
          <t xml:space="preserve"> 台中一中店  </t>
        </is>
      </c>
      <c r="C8" t="inlineStr">
        <is>
          <t>輕食沙拉</t>
        </is>
      </c>
      <c r="D8" t="n">
        <v>390</v>
      </c>
      <c r="E8" t="n">
        <v>160</v>
      </c>
      <c r="F8" t="inlineStr"/>
    </row>
    <row r="9">
      <c r="A9" t="inlineStr">
        <is>
          <t>ORD-108</t>
        </is>
      </c>
      <c r="B9" t="inlineStr">
        <is>
          <t xml:space="preserve">高雄巨蛋店 </t>
        </is>
      </c>
      <c r="C9" t="inlineStr">
        <is>
          <t>特調茶飲</t>
        </is>
      </c>
      <c r="D9" t="n">
        <v>150</v>
      </c>
      <c r="E9" t="n">
        <v>60</v>
      </c>
      <c r="F9" t="inlineStr"/>
    </row>
    <row r="10">
      <c r="A10" t="inlineStr">
        <is>
          <t>ORD-109</t>
        </is>
      </c>
      <c r="B10" t="inlineStr">
        <is>
          <t xml:space="preserve"> 台北旗艦店 </t>
        </is>
      </c>
      <c r="C10" t="inlineStr">
        <is>
          <t>手作烘焙</t>
        </is>
      </c>
      <c r="D10" t="n">
        <v>290</v>
      </c>
      <c r="E10" t="n">
        <v>130</v>
      </c>
      <c r="F10" t="inlineStr"/>
    </row>
    <row r="11">
      <c r="A11" t="inlineStr">
        <is>
          <t>ORD-110</t>
        </is>
      </c>
      <c r="B11" t="inlineStr">
        <is>
          <t xml:space="preserve">  板橋站前店 </t>
        </is>
      </c>
      <c r="C11" t="inlineStr">
        <is>
          <t>經典咖啡</t>
        </is>
      </c>
      <c r="D11" t="n">
        <v>740</v>
      </c>
      <c r="E11" t="n">
        <v>360</v>
      </c>
      <c r="F11" t="inlineStr"/>
    </row>
    <row r="13">
      <c r="A13" s="3" t="inlineStr">
        <is>
          <t>【多條件統計匯總成果區】</t>
        </is>
      </c>
    </row>
    <row r="14">
      <c r="A14" s="4" t="inlineStr">
        <is>
          <t>統計項目</t>
        </is>
      </c>
      <c r="B14" s="4" t="inlineStr">
        <is>
          <t>計算結果 (請在此輸入公式)</t>
        </is>
      </c>
      <c r="C14" s="4" t="inlineStr">
        <is>
          <t>使用函數指引</t>
        </is>
      </c>
    </row>
    <row r="15">
      <c r="A15" s="4" t="inlineStr">
        <is>
          <t>台北旗艦店的咖啡銷售總額</t>
        </is>
      </c>
      <c r="B15" s="4" t="n"/>
      <c r="C15" s="4" t="inlineStr">
        <is>
          <t>SUMIFS(D2:D11, F2:F11, "台北旗艦店", C2:C11, "經典咖啡")</t>
        </is>
      </c>
    </row>
    <row r="16">
      <c r="A16" s="4" t="inlineStr">
        <is>
          <t>金額大於等於500元的訂單筆數</t>
        </is>
      </c>
      <c r="B16" s="4" t="n"/>
      <c r="C16" s="4" t="inlineStr">
        <is>
          <t>COUNTIFS(D2:D11, "&gt;=500")</t>
        </is>
      </c>
    </row>
    <row r="17">
      <c r="A17" s="4" t="inlineStr">
        <is>
          <t>台北旗艦店的平均訂單毛利</t>
        </is>
      </c>
      <c r="B17" s="4" t="n"/>
      <c r="C17" s="4" t="inlineStr">
        <is>
          <t>AVERAGEIFS(E2:E11, F2:F11, "台北旗艦店")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銷售門市(含雜訊空格)</t>
        </is>
      </c>
      <c r="C1" t="inlineStr">
        <is>
          <t>商品類別</t>
        </is>
      </c>
      <c r="D1" t="inlineStr">
        <is>
          <t>銷售金額</t>
        </is>
      </c>
      <c r="E1" t="inlineStr">
        <is>
          <t>訂單毛利</t>
        </is>
      </c>
      <c r="F1" t="inlineStr">
        <is>
          <t>清洗後門市(=TRIM(B2))</t>
        </is>
      </c>
    </row>
    <row r="2">
      <c r="A2" t="inlineStr">
        <is>
          <t>ORD-101</t>
        </is>
      </c>
      <c r="B2" t="inlineStr">
        <is>
          <t xml:space="preserve">  台北旗艦店 </t>
        </is>
      </c>
      <c r="C2" t="inlineStr">
        <is>
          <t>經典咖啡</t>
        </is>
      </c>
      <c r="D2" t="n">
        <v>450</v>
      </c>
      <c r="E2" t="n">
        <v>210</v>
      </c>
      <c r="F2">
        <f>TRIM(B2)</f>
        <v/>
      </c>
    </row>
    <row r="3">
      <c r="A3" t="inlineStr">
        <is>
          <t>ORD-102</t>
        </is>
      </c>
      <c r="B3" t="inlineStr">
        <is>
          <t xml:space="preserve">板橋站前店  </t>
        </is>
      </c>
      <c r="C3" t="inlineStr">
        <is>
          <t>手作烘焙</t>
        </is>
      </c>
      <c r="D3" t="n">
        <v>180</v>
      </c>
      <c r="E3" t="n">
        <v>75</v>
      </c>
      <c r="F3">
        <f>TRIM(B3)</f>
        <v/>
      </c>
    </row>
    <row r="4">
      <c r="A4" t="inlineStr">
        <is>
          <t>ORD-103</t>
        </is>
      </c>
      <c r="B4" t="inlineStr">
        <is>
          <t xml:space="preserve"> 台北旗艦店</t>
        </is>
      </c>
      <c r="C4" t="inlineStr">
        <is>
          <t>輕食沙拉</t>
        </is>
      </c>
      <c r="D4" t="n">
        <v>620</v>
      </c>
      <c r="E4" t="n">
        <v>280</v>
      </c>
      <c r="F4">
        <f>TRIM(B4)</f>
        <v/>
      </c>
    </row>
    <row r="5">
      <c r="A5" t="inlineStr">
        <is>
          <t>ORD-104</t>
        </is>
      </c>
      <c r="B5" t="inlineStr">
        <is>
          <t xml:space="preserve">台中一中店 </t>
        </is>
      </c>
      <c r="C5" t="inlineStr">
        <is>
          <t>特調茶飲</t>
        </is>
      </c>
      <c r="D5" t="n">
        <v>240</v>
      </c>
      <c r="E5" t="n">
        <v>110</v>
      </c>
      <c r="F5">
        <f>TRIM(B5)</f>
        <v/>
      </c>
    </row>
    <row r="6">
      <c r="A6" t="inlineStr">
        <is>
          <t>ORD-105</t>
        </is>
      </c>
      <c r="B6" t="inlineStr">
        <is>
          <t xml:space="preserve">  高雄巨蛋店</t>
        </is>
      </c>
      <c r="C6" t="inlineStr">
        <is>
          <t>經典咖啡</t>
        </is>
      </c>
      <c r="D6" t="n">
        <v>850</v>
      </c>
      <c r="E6" t="n">
        <v>420</v>
      </c>
      <c r="F6">
        <f>TRIM(B6)</f>
        <v/>
      </c>
    </row>
    <row r="7">
      <c r="A7" t="inlineStr">
        <is>
          <t>ORD-106</t>
        </is>
      </c>
      <c r="B7" t="inlineStr">
        <is>
          <t xml:space="preserve">台北旗艦店  </t>
        </is>
      </c>
      <c r="C7" t="inlineStr">
        <is>
          <t>經典咖啡</t>
        </is>
      </c>
      <c r="D7" t="n">
        <v>520</v>
      </c>
      <c r="E7" t="n">
        <v>260</v>
      </c>
      <c r="F7">
        <f>TRIM(B7)</f>
        <v/>
      </c>
    </row>
    <row r="8">
      <c r="A8" t="inlineStr">
        <is>
          <t>ORD-107</t>
        </is>
      </c>
      <c r="B8" t="inlineStr">
        <is>
          <t xml:space="preserve"> 台中一中店  </t>
        </is>
      </c>
      <c r="C8" t="inlineStr">
        <is>
          <t>輕食沙拉</t>
        </is>
      </c>
      <c r="D8" t="n">
        <v>390</v>
      </c>
      <c r="E8" t="n">
        <v>160</v>
      </c>
      <c r="F8">
        <f>TRIM(B8)</f>
        <v/>
      </c>
    </row>
    <row r="9">
      <c r="A9" t="inlineStr">
        <is>
          <t>ORD-108</t>
        </is>
      </c>
      <c r="B9" t="inlineStr">
        <is>
          <t xml:space="preserve">高雄巨蛋店 </t>
        </is>
      </c>
      <c r="C9" t="inlineStr">
        <is>
          <t>特調茶飲</t>
        </is>
      </c>
      <c r="D9" t="n">
        <v>150</v>
      </c>
      <c r="E9" t="n">
        <v>60</v>
      </c>
      <c r="F9">
        <f>TRIM(B9)</f>
        <v/>
      </c>
    </row>
    <row r="10">
      <c r="A10" t="inlineStr">
        <is>
          <t>ORD-109</t>
        </is>
      </c>
      <c r="B10" t="inlineStr">
        <is>
          <t xml:space="preserve"> 台北旗艦店 </t>
        </is>
      </c>
      <c r="C10" t="inlineStr">
        <is>
          <t>手作烘焙</t>
        </is>
      </c>
      <c r="D10" t="n">
        <v>290</v>
      </c>
      <c r="E10" t="n">
        <v>130</v>
      </c>
      <c r="F10">
        <f>TRIM(B10)</f>
        <v/>
      </c>
    </row>
    <row r="11">
      <c r="A11" t="inlineStr">
        <is>
          <t>ORD-110</t>
        </is>
      </c>
      <c r="B11" t="inlineStr">
        <is>
          <t xml:space="preserve">  板橋站前店 </t>
        </is>
      </c>
      <c r="C11" t="inlineStr">
        <is>
          <t>經典咖啡</t>
        </is>
      </c>
      <c r="D11" t="n">
        <v>740</v>
      </c>
      <c r="E11" t="n">
        <v>360</v>
      </c>
      <c r="F11">
        <f>TRIM(B11)</f>
        <v/>
      </c>
    </row>
    <row r="13">
      <c r="A13" s="3" t="inlineStr">
        <is>
          <t>【多條件統計匯總解答】</t>
        </is>
      </c>
    </row>
    <row r="14">
      <c r="A14" t="inlineStr">
        <is>
          <t>統計項目</t>
        </is>
      </c>
      <c r="B14" t="inlineStr">
        <is>
          <t>標準公式</t>
        </is>
      </c>
      <c r="C14" t="inlineStr">
        <is>
          <t>試算數值</t>
        </is>
      </c>
    </row>
    <row r="15">
      <c r="A15" t="inlineStr">
        <is>
          <t>台北旗艦店的咖啡銷售總額</t>
        </is>
      </c>
      <c r="B15">
        <f>SUMIFS(D2:D11, F2:F11, "台北旗艦店", C2:C11, "經典咖啡")</f>
        <v/>
      </c>
      <c r="C15" t="n">
        <v>970</v>
      </c>
    </row>
    <row r="16">
      <c r="A16" t="inlineStr">
        <is>
          <t>金額大於等於500元的訂單筆數</t>
        </is>
      </c>
      <c r="B16">
        <f>COUNTIFS(D2:D11, "&gt;=500")</f>
        <v/>
      </c>
      <c r="C16" t="n">
        <v>4</v>
      </c>
    </row>
    <row r="17">
      <c r="A17" t="inlineStr">
        <is>
          <t>台北旗艦店的平均訂單毛利</t>
        </is>
      </c>
      <c r="B17">
        <f>AVERAGEIFS(E2:E11, F2:F11, "台北旗艦店")</f>
        <v/>
      </c>
      <c r="C17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2026-09-04T11:56:31Z</dcterms:created>
  <dcterms:modified xmlns:dcterms="http://purl.org/dc/terms/" xmlns:xsi="http://www.w3.org/2001/XMLSchema-instance" xsi:type="dcterms:W3CDTF">2026-09-04T11:56:31Z</dcterms:modified>
</cp:coreProperties>
</file>