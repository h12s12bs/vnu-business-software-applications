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員工主檔" sheetId="1" state="visible" r:id="rId1"/>
    <sheet xmlns:r="http://schemas.openxmlformats.org/officeDocument/2006/relationships" name="本月薪資核算表_練習" sheetId="2" state="visible" r:id="rId2"/>
    <sheet xmlns:r="http://schemas.openxmlformats.org/officeDocument/2006/relationships" name="參考解答_完整公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部門代碼</t>
        </is>
      </c>
      <c r="B1" s="1" t="inlineStr">
        <is>
          <t>員工工號</t>
        </is>
      </c>
      <c r="C1" s="1" t="inlineStr">
        <is>
          <t>員工姓名</t>
        </is>
      </c>
      <c r="D1" s="1" t="inlineStr">
        <is>
          <t>職稱</t>
        </is>
      </c>
      <c r="E1" s="1" t="inlineStr">
        <is>
          <t>固定本薪</t>
        </is>
      </c>
      <c r="F1" s="1" t="inlineStr">
        <is>
          <t>提成業績獎金率</t>
        </is>
      </c>
    </row>
    <row r="2">
      <c r="A2" t="inlineStr">
        <is>
          <t>DEP-MKT</t>
        </is>
      </c>
      <c r="B2" t="inlineStr">
        <is>
          <t>EMP-001</t>
        </is>
      </c>
      <c r="C2" t="inlineStr">
        <is>
          <t>陳信宏</t>
        </is>
      </c>
      <c r="D2" t="inlineStr">
        <is>
          <t>業務專員</t>
        </is>
      </c>
      <c r="E2" t="n">
        <v>36000</v>
      </c>
      <c r="F2" t="n">
        <v>0.05</v>
      </c>
    </row>
    <row r="3">
      <c r="A3" t="inlineStr">
        <is>
          <t>DEP-MKT</t>
        </is>
      </c>
      <c r="B3" t="inlineStr">
        <is>
          <t>EMP-002</t>
        </is>
      </c>
      <c r="C3" t="inlineStr">
        <is>
          <t>林宥嘉</t>
        </is>
      </c>
      <c r="D3" t="inlineStr">
        <is>
          <t>資深業務</t>
        </is>
      </c>
      <c r="E3" t="n">
        <v>45000</v>
      </c>
      <c r="F3" t="n">
        <v>0.07000000000000001</v>
      </c>
    </row>
    <row r="4">
      <c r="A4" t="inlineStr">
        <is>
          <t>DEP-MKT</t>
        </is>
      </c>
      <c r="B4" t="inlineStr">
        <is>
          <t>EMP-003</t>
        </is>
      </c>
      <c r="C4" t="inlineStr">
        <is>
          <t>徐佳瑩</t>
        </is>
      </c>
      <c r="D4" t="inlineStr">
        <is>
          <t>業務專員</t>
        </is>
      </c>
      <c r="E4" t="n">
        <v>38000</v>
      </c>
      <c r="F4" t="n">
        <v>0.05</v>
      </c>
    </row>
    <row r="5">
      <c r="A5" t="inlineStr">
        <is>
          <t>DEP-RET</t>
        </is>
      </c>
      <c r="B5" t="inlineStr">
        <is>
          <t>EMP-004</t>
        </is>
      </c>
      <c r="C5" t="inlineStr">
        <is>
          <t>蕭敬騰</t>
        </is>
      </c>
      <c r="D5" t="inlineStr">
        <is>
          <t>店長</t>
        </is>
      </c>
      <c r="E5" t="n">
        <v>48000</v>
      </c>
      <c r="F5" t="n">
        <v>0.06</v>
      </c>
    </row>
    <row r="6">
      <c r="A6" t="inlineStr">
        <is>
          <t>DEP-RET</t>
        </is>
      </c>
      <c r="B6" t="inlineStr">
        <is>
          <t>EMP-005</t>
        </is>
      </c>
      <c r="C6" t="inlineStr">
        <is>
          <t>田馥甄</t>
        </is>
      </c>
      <c r="D6" t="inlineStr">
        <is>
          <t>副店長</t>
        </is>
      </c>
      <c r="E6" t="n">
        <v>42000</v>
      </c>
      <c r="F6" t="n">
        <v>0.04</v>
      </c>
    </row>
    <row r="7">
      <c r="A7" t="inlineStr">
        <is>
          <t>DEP-ADM</t>
        </is>
      </c>
      <c r="B7" t="inlineStr">
        <is>
          <t>EMP-006</t>
        </is>
      </c>
      <c r="C7" t="inlineStr">
        <is>
          <t>周杰倫</t>
        </is>
      </c>
      <c r="D7" t="inlineStr">
        <is>
          <t>行政總監</t>
        </is>
      </c>
      <c r="E7" t="n">
        <v>68000</v>
      </c>
      <c r="F7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工號</t>
        </is>
      </c>
      <c r="B1" s="1" t="inlineStr">
        <is>
          <t>姓名(XLOOKUP)</t>
        </is>
      </c>
      <c r="C1" s="1" t="inlineStr">
        <is>
          <t>職稱(XLOOKUP)</t>
        </is>
      </c>
      <c r="D1" s="1" t="inlineStr">
        <is>
          <t>本月個人營收</t>
        </is>
      </c>
      <c r="E1" s="1" t="inlineStr">
        <is>
          <t>提成率(XLOOKUP)</t>
        </is>
      </c>
      <c r="F1" s="1" t="inlineStr">
        <is>
          <t>業績獎金(=營收*提成)</t>
        </is>
      </c>
      <c r="G1" s="1" t="inlineStr">
        <is>
          <t>固定本薪(XLOOKUP)</t>
        </is>
      </c>
      <c r="H1" s="1" t="inlineStr">
        <is>
          <t>應發總薪資</t>
        </is>
      </c>
    </row>
    <row r="2">
      <c r="A2" t="inlineStr">
        <is>
          <t>EMP-002</t>
        </is>
      </c>
      <c r="B2" t="inlineStr"/>
      <c r="C2" t="inlineStr"/>
      <c r="D2" t="n">
        <v>320000</v>
      </c>
      <c r="E2" t="inlineStr"/>
      <c r="F2" t="inlineStr"/>
      <c r="G2" t="inlineStr"/>
      <c r="H2" t="inlineStr"/>
    </row>
    <row r="3">
      <c r="A3" t="inlineStr">
        <is>
          <t>EMP-001</t>
        </is>
      </c>
      <c r="B3" t="inlineStr"/>
      <c r="C3" t="inlineStr"/>
      <c r="D3" t="n">
        <v>180000</v>
      </c>
      <c r="E3" t="inlineStr"/>
      <c r="F3" t="inlineStr"/>
      <c r="G3" t="inlineStr"/>
      <c r="H3" t="inlineStr"/>
    </row>
    <row r="4">
      <c r="A4" t="inlineStr">
        <is>
          <t>EMP-005</t>
        </is>
      </c>
      <c r="B4" t="inlineStr"/>
      <c r="C4" t="inlineStr"/>
      <c r="D4" t="n">
        <v>250000</v>
      </c>
      <c r="E4" t="inlineStr"/>
      <c r="F4" t="inlineStr"/>
      <c r="G4" t="inlineStr"/>
      <c r="H4" t="inlineStr"/>
    </row>
    <row r="5">
      <c r="A5" t="inlineStr">
        <is>
          <t>EMP-003</t>
        </is>
      </c>
      <c r="B5" t="inlineStr"/>
      <c r="C5" t="inlineStr"/>
      <c r="D5" t="n">
        <v>210000</v>
      </c>
      <c r="E5" t="inlineStr"/>
      <c r="F5" t="inlineStr"/>
      <c r="G5" t="inlineStr"/>
      <c r="H5" t="inlineStr"/>
    </row>
    <row r="6">
      <c r="A6" t="inlineStr">
        <is>
          <t>EMP-004</t>
        </is>
      </c>
      <c r="B6" t="inlineStr"/>
      <c r="C6" t="inlineStr"/>
      <c r="D6" t="n">
        <v>450000</v>
      </c>
      <c r="E6" t="inlineStr"/>
      <c r="F6" t="inlineStr"/>
      <c r="G6" t="inlineStr"/>
      <c r="H6" t="inlineStr"/>
    </row>
    <row r="7">
      <c r="A7" t="inlineStr">
        <is>
          <t>EMP-999</t>
        </is>
      </c>
      <c r="B7" t="inlineStr"/>
      <c r="C7" t="inlineStr"/>
      <c r="D7" t="n">
        <v>50000</v>
      </c>
      <c r="E7" t="inlineStr"/>
      <c r="F7" t="inlineStr"/>
      <c r="G7" t="inlineStr"/>
      <c r="H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工號</t>
        </is>
      </c>
      <c r="B1" s="1" t="inlineStr">
        <is>
          <t>姓名</t>
        </is>
      </c>
      <c r="C1" s="1" t="inlineStr">
        <is>
          <t>職稱</t>
        </is>
      </c>
      <c r="D1" s="1" t="inlineStr">
        <is>
          <t>本月個人營收</t>
        </is>
      </c>
      <c r="E1" s="1" t="inlineStr">
        <is>
          <t>提成率</t>
        </is>
      </c>
      <c r="F1" s="1" t="inlineStr">
        <is>
          <t>業績獎金</t>
        </is>
      </c>
      <c r="G1" s="1" t="inlineStr">
        <is>
          <t>固定本薪</t>
        </is>
      </c>
      <c r="H1" s="1" t="inlineStr">
        <is>
          <t>應發總薪資</t>
        </is>
      </c>
    </row>
    <row r="2">
      <c r="A2" t="inlineStr">
        <is>
          <t>EMP-002</t>
        </is>
      </c>
      <c r="B2">
        <f>XLOOKUP(A2, 員工主檔!$B$2:$B$7, 員工主檔!$C$2:$C$7, "查無員工")</f>
        <v/>
      </c>
      <c r="C2">
        <f>XLOOKUP(A2, 員工主檔!$B$2:$B$7, 員工主檔!$D$2:$D$7, "無")</f>
        <v/>
      </c>
      <c r="D2" t="n">
        <v>320000</v>
      </c>
      <c r="E2">
        <f>XLOOKUP(A2, 員工主檔!$B$2:$B$7, 員工主檔!$F$2:$F$7, 0)</f>
        <v/>
      </c>
      <c r="F2">
        <f>D2*E2</f>
        <v/>
      </c>
      <c r="G2">
        <f>XLOOKUP(A2, 員工主檔!$B$2:$B$7, 員工主檔!$E$2:$E$7, 0)</f>
        <v/>
      </c>
      <c r="H2">
        <f>F2+G2</f>
        <v/>
      </c>
    </row>
    <row r="3">
      <c r="A3" t="inlineStr">
        <is>
          <t>EMP-001</t>
        </is>
      </c>
      <c r="B3">
        <f>XLOOKUP(A3, 員工主檔!$B$2:$B$7, 員工主檔!$C$2:$C$7, "查無員工")</f>
        <v/>
      </c>
      <c r="C3">
        <f>XLOOKUP(A3, 員工主檔!$B$2:$B$7, 員工主檔!$D$2:$D$7, "無")</f>
        <v/>
      </c>
      <c r="D3" t="n">
        <v>180000</v>
      </c>
      <c r="E3">
        <f>XLOOKUP(A3, 員工主檔!$B$2:$B$7, 員工主檔!$F$2:$F$7, 0)</f>
        <v/>
      </c>
      <c r="F3">
        <f>D3*E3</f>
        <v/>
      </c>
      <c r="G3">
        <f>XLOOKUP(A3, 員工主檔!$B$2:$B$7, 員工主檔!$E$2:$E$7, 0)</f>
        <v/>
      </c>
      <c r="H3">
        <f>F3+G3</f>
        <v/>
      </c>
    </row>
    <row r="4">
      <c r="A4" t="inlineStr">
        <is>
          <t>EMP-005</t>
        </is>
      </c>
      <c r="B4">
        <f>XLOOKUP(A4, 員工主檔!$B$2:$B$7, 員工主檔!$C$2:$C$7, "查無員工")</f>
        <v/>
      </c>
      <c r="C4">
        <f>XLOOKUP(A4, 員工主檔!$B$2:$B$7, 員工主檔!$D$2:$D$7, "無")</f>
        <v/>
      </c>
      <c r="D4" t="n">
        <v>250000</v>
      </c>
      <c r="E4">
        <f>XLOOKUP(A4, 員工主檔!$B$2:$B$7, 員工主檔!$F$2:$F$7, 0)</f>
        <v/>
      </c>
      <c r="F4">
        <f>D4*E4</f>
        <v/>
      </c>
      <c r="G4">
        <f>XLOOKUP(A4, 員工主檔!$B$2:$B$7, 員工主檔!$E$2:$E$7, 0)</f>
        <v/>
      </c>
      <c r="H4">
        <f>F4+G4</f>
        <v/>
      </c>
    </row>
    <row r="5">
      <c r="A5" t="inlineStr">
        <is>
          <t>EMP-003</t>
        </is>
      </c>
      <c r="B5">
        <f>XLOOKUP(A5, 員工主檔!$B$2:$B$7, 員工主檔!$C$2:$C$7, "查無員工")</f>
        <v/>
      </c>
      <c r="C5">
        <f>XLOOKUP(A5, 員工主檔!$B$2:$B$7, 員工主檔!$D$2:$D$7, "無")</f>
        <v/>
      </c>
      <c r="D5" t="n">
        <v>210000</v>
      </c>
      <c r="E5">
        <f>XLOOKUP(A5, 員工主檔!$B$2:$B$7, 員工主檔!$F$2:$F$7, 0)</f>
        <v/>
      </c>
      <c r="F5">
        <f>D5*E5</f>
        <v/>
      </c>
      <c r="G5">
        <f>XLOOKUP(A5, 員工主檔!$B$2:$B$7, 員工主檔!$E$2:$E$7, 0)</f>
        <v/>
      </c>
      <c r="H5">
        <f>F5+G5</f>
        <v/>
      </c>
    </row>
    <row r="6">
      <c r="A6" t="inlineStr">
        <is>
          <t>EMP-004</t>
        </is>
      </c>
      <c r="B6">
        <f>XLOOKUP(A6, 員工主檔!$B$2:$B$7, 員工主檔!$C$2:$C$7, "查無員工")</f>
        <v/>
      </c>
      <c r="C6">
        <f>XLOOKUP(A6, 員工主檔!$B$2:$B$7, 員工主檔!$D$2:$D$7, "無")</f>
        <v/>
      </c>
      <c r="D6" t="n">
        <v>450000</v>
      </c>
      <c r="E6">
        <f>XLOOKUP(A6, 員工主檔!$B$2:$B$7, 員工主檔!$F$2:$F$7, 0)</f>
        <v/>
      </c>
      <c r="F6">
        <f>D6*E6</f>
        <v/>
      </c>
      <c r="G6">
        <f>XLOOKUP(A6, 員工主檔!$B$2:$B$7, 員工主檔!$E$2:$E$7, 0)</f>
        <v/>
      </c>
      <c r="H6">
        <f>F6+G6</f>
        <v/>
      </c>
    </row>
    <row r="7">
      <c r="A7" t="inlineStr">
        <is>
          <t>EMP-999</t>
        </is>
      </c>
      <c r="B7">
        <f>XLOOKUP(A7, 員工主檔!$B$2:$B$7, 員工主檔!$C$2:$C$7, "查無員工")</f>
        <v/>
      </c>
      <c r="C7">
        <f>XLOOKUP(A7, 員工主檔!$B$2:$B$7, 員工主檔!$D$2:$D$7, "無")</f>
        <v/>
      </c>
      <c r="D7" t="n">
        <v>50000</v>
      </c>
      <c r="E7">
        <f>XLOOKUP(A7, 員工主檔!$B$2:$B$7, 員工主檔!$F$2:$F$7, 0)</f>
        <v/>
      </c>
      <c r="F7">
        <f>D7*E7</f>
        <v/>
      </c>
      <c r="G7">
        <f>XLOOKUP(A7, 員工主檔!$B$2:$B$7, 員工主檔!$E$2:$E$7, 0)</f>
        <v/>
      </c>
      <c r="H7">
        <f>F7+G7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2026-09-04T11:56:31Z</dcterms:created>
  <dcterms:modified xmlns:dcterms="http://purl.org/dc/terms/" xmlns:xsi="http://www.w3.org/2001/XMLSchema-instance" xsi:type="dcterms:W3CDTF">2026-09-04T11:56:31Z</dcterms:modified>
</cp:coreProperties>
</file>